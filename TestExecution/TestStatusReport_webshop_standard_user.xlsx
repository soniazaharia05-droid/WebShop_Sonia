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z"/>
  <workbookPr/>
  <bookViews>
    <workbookView activeTab="0" xWindow="240" yWindow="60" windowWidth="30930" windowHeight="16770" tabRatio="500"/>
  </bookViews>
  <sheets>
    <sheet name="TestCases" sheetId="1" r:id="rId4"/>
    <sheet name="Results" sheetId="2" r:id="rId5"/>
  </sheets>
  <calcPr/>
  <extLst>
    <ext uri="smNativeData">
      <pm:revision xmlns:pm="smNativeData" day="1769513811" val="1068" rev="124" revOS="4" revMin="124" revMax="0"/>
      <pm:docPrefs xmlns:pm="smNativeData" id="1769513811" fixedDigits="0" showNotice="1" showFrameBounds="1" autoChart="1" recalcOnPrint="1" recalcOnCopy="1" finalRounding="1" compatTextArt="1" tab="567" useDefinedPrintRange="1" printArea="currentSheet"/>
      <pm:compatibility xmlns:pm="smNativeData" id="1769513811" overlapCells="1"/>
      <pm:defCurrency xmlns:pm="smNativeData" id="1769513811"/>
    </ext>
  </extLst>
</workbook>
</file>

<file path=xl/sharedStrings.xml><?xml version="1.0" encoding="utf-8"?>
<sst xmlns="http://schemas.openxmlformats.org/spreadsheetml/2006/main" count="236" uniqueCount="145">
  <si>
    <t>Test Suite/Scenario</t>
  </si>
  <si>
    <t>TestCaseID - Title</t>
  </si>
  <si>
    <t>Priority</t>
  </si>
  <si>
    <t>Automated</t>
  </si>
  <si>
    <t>Test Steps</t>
  </si>
  <si>
    <t>Test Data</t>
  </si>
  <si>
    <t>Expected Result</t>
  </si>
  <si>
    <t>Actual Result</t>
  </si>
  <si>
    <t>Pass/Fail/Blocked</t>
  </si>
  <si>
    <t>BUG ID</t>
  </si>
  <si>
    <t>Interfata Login</t>
  </si>
  <si>
    <t>1 - User valid + parola valida</t>
  </si>
  <si>
    <t>P1</t>
  </si>
  <si>
    <t>1. accesare site
2. introducere in campul username username valid
3. introducem in campul password parola valida
4. Apasare buton Login</t>
  </si>
  <si>
    <t>1. standard_user
2. secret_sauce</t>
  </si>
  <si>
    <t>Redirectionare pagina produse.
Parola este afisata cu caractere specifice</t>
  </si>
  <si>
    <t>Pass</t>
  </si>
  <si>
    <t>2 - User valid + parola invalida</t>
  </si>
  <si>
    <t>1. accesare site
2. introducere in campul username username valid
3. introducem in campul password parola invalida
4. Apasare buton Login</t>
  </si>
  <si>
    <t>1. standard_user
2. abcd</t>
  </si>
  <si>
    <r>
      <t>Afisare mesaj eroare "</t>
    </r>
    <r>
      <t>Epic sadface: Username and password do not match any user in this service</t>
    </r>
    <r>
      <t>"</t>
    </r>
  </si>
  <si>
    <t>3 - User invalid + parola valida</t>
  </si>
  <si>
    <t>1. accesare site
2. introducere in campul username username invalid
3. introducem in campul password parola valida
4. Apasare buton Login</t>
  </si>
  <si>
    <t>1. Bogdan
2. secret_sauce</t>
  </si>
  <si>
    <t>4 - User invalid + parola invalida</t>
  </si>
  <si>
    <t>1. accesare site
2. introducere in campul username username invalid
3. introducem in campul password parola invalida
4. Apasare buton Login</t>
  </si>
  <si>
    <t>1. Bogdan
2. abcd</t>
  </si>
  <si>
    <t>5 -  Camp user necompletat + parola valida</t>
  </si>
  <si>
    <t>1. accesare site
2. camp user necompletat
3. introducem in campul password parola valida
4. Apasare buton Login</t>
  </si>
  <si>
    <t>1. 
2. secret_sauce</t>
  </si>
  <si>
    <r>
      <t>Afisare mesaj eroare "</t>
    </r>
    <r>
      <t>Epic sadface: Username is required"</t>
    </r>
  </si>
  <si>
    <t>6 -  Camp user valid + camp parola necompletat</t>
  </si>
  <si>
    <t>1. accesare site
2. introducere in campul username username valid
3. camp parola necompletat
4. Apasare buton Login</t>
  </si>
  <si>
    <r>
      <t>Afisare mesaj eroare "</t>
    </r>
    <r>
      <t>Epic sadface: password is required"</t>
    </r>
  </si>
  <si>
    <t>Pagina produse</t>
  </si>
  <si>
    <t>7 - Filtrare produse de la A&lt;Z</t>
  </si>
  <si>
    <t>P3</t>
  </si>
  <si>
    <t>1. accesare site
2. introducere in campul username username valid
3. introducere in campul password parola valida
4. Apasare buton Login
5. Accesare pagina produse
6. Apasare buton filtrare A to Z</t>
  </si>
  <si>
    <t>1. A to Z</t>
  </si>
  <si>
    <t>Afisare produse in ordine alfabetica</t>
  </si>
  <si>
    <t>8 - Filtrare produse de la Z&lt;A</t>
  </si>
  <si>
    <t>1. accesare site
2. introducere in campul username username valid
3. introducere in campul password parola valida
4. Apasare buton Login
5. Accesare pagina produse
6. Apasare buton filtrare Z to A</t>
  </si>
  <si>
    <t>1. Z to A</t>
  </si>
  <si>
    <t>Afisare produse in ordine alfabetica inversa</t>
  </si>
  <si>
    <t>9 - Filtrare produse pret descrescator</t>
  </si>
  <si>
    <t>1. accesare site
2. introducere in campul username username valid
3. introducere in campul password parola valida
4. Apasare buton Login
5. Accesare pagina produse
6. Apasare buton filtrare pret descrescator</t>
  </si>
  <si>
    <t>1. pret descrescator</t>
  </si>
  <si>
    <t>Afisare produse in ordine descrescatoare in functie de pret</t>
  </si>
  <si>
    <t>10 - Filtrare produse pret crescator</t>
  </si>
  <si>
    <t>1. accesare site
2. introducere in campul username username valid
3. introducere in campul password parola valida
4. Apasare buton Login
5. Accesare pagina produse
6. Apasare buton filtrare pret crescator</t>
  </si>
  <si>
    <t>1. pret crescator</t>
  </si>
  <si>
    <t>Afisare produse in ordine crescatoare in functie de pret</t>
  </si>
  <si>
    <t>11 - Adaugarea unui produs in cosul de cumparaturi</t>
  </si>
  <si>
    <t>1. accesare site
2. introducere in campul username username valid
3. introducere in campul password parola valida
4. Apasare buton Login
5. Accesare pagina produse
6. Apasare buton "Add to cart" din dreptul produsului "Sauce Labs Fleece Jacket"</t>
  </si>
  <si>
    <t>1. "Add to cart"</t>
  </si>
  <si>
    <t>Actualizare cos cumparaturi</t>
  </si>
  <si>
    <t>12 - Adaugare a numarului maxim de produse 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</si>
  <si>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t>
  </si>
  <si>
    <t>1. "Add to cart"
2. "Add to cart"
3. "Add to cart"
4. "Add to cart"
5. "Add to cart"
6. "Add to cart"</t>
  </si>
  <si>
    <t>Actualizare cos cumparaturi cu cate 1 bucata din fiecare produs</t>
  </si>
  <si>
    <t>13 - Eliminarea unui produs din cosul de cumparaturi</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</si>
  <si>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Ciick buton "Remove" din dreptul produsului</t>
  </si>
  <si>
    <t>1. "Add to cart"
2. Cos cumparaturi
3. "Remove"</t>
  </si>
  <si>
    <t>Stergerea produsului din cosul de cumparaturi</t>
  </si>
  <si>
    <t>Cos de cumparaturi</t>
  </si>
  <si>
    <t>14 - Numarul de articole este afisat corect si dupa eliminarea unui produs din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</si>
  <si>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
12. Click buton cos de cumparaturi
13. Click buton "Remove" din dreptul produsului "Sauce Labs Backpack"</t>
  </si>
  <si>
    <t>1. "Add to cart"
2. "Add to cart"
3. "Add to cart"
4. "Add to cart"
5. "Add to cart"
6. "Add to cart"
7. Cos cumparaturi
8. "Remove"</t>
  </si>
  <si>
    <t>Actualizare cos cumparaturi fara produsul eliiminat</t>
  </si>
  <si>
    <t>15 - Continuarea cumparaturilor</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</si>
  <si>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Click buton "Continue shopping"</t>
  </si>
  <si>
    <t>1. "Add to cart"
2. Cos cumparaturi
3. "Continue shopping"</t>
  </si>
  <si>
    <t>Redirectionare catre pagina de produse</t>
  </si>
  <si>
    <t>16 - Redirectionare pagina finalizare comanda prin accesarea comenzii "Checkout"</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</si>
  <si>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Click buton "Checkout"</t>
  </si>
  <si>
    <t>1. "Add to cart"
2. Cos cumparaturi
3. "Checkout"</t>
  </si>
  <si>
    <t>Redirectionare catre pagina de checkout</t>
  </si>
  <si>
    <t>Single product page</t>
  </si>
  <si>
    <t>17 - Un produs se poate adauga in cosul de cumparaturi din "Single product page"</t>
  </si>
  <si>
    <t>1. accesare site
2. introducere in campul username username valid
3. introducere in campul password parola valida
4. Apasare buton Login
5. Accesare pagina produse
6. Click buton "Sauce Labs Bike Light"
7. Accesare "Single product page"
8. Click buton "Add to cart"</t>
  </si>
  <si>
    <t>1. "Sauce Labs Bike Light"
2. "Add to cart"</t>
  </si>
  <si>
    <t>18 - Un produs se poate elimina din cosul de cumparaturi din "Single product page"</t>
  </si>
  <si>
    <t>P2</t>
  </si>
  <si>
    <t>1. accesare site
2. introducere in campul username username valid
3. introducere in campul password parola valida
4. Apasare buton Login
5. Accesare pagina produse
6. Click buton "Sauce Labs Bike Light"
7. Accesare "Single product page"
8. Click buton "Add to cart"
9. Click buton "Remove"</t>
  </si>
  <si>
    <t>1. "Sauce Labs Bike Light"
2. "Add to cart"
3. "Remove"</t>
  </si>
  <si>
    <t>19 - Click buton "Back to products" -&gt; accesare pagina produse</t>
  </si>
  <si>
    <t>1. accesare site
2. introducere in campul username username valid
3. introducere in campul password parola valida
4. Apasare buton Login
5. Accesare pagina produse
6. Click buton "Sauce Labs Bike Light"
7. Accesare "Single product page"
8. Click buton "Back to products"</t>
  </si>
  <si>
    <t>1. "Sauce Labs Bike Light"
2. "Back to products"</t>
  </si>
  <si>
    <t>Accesare pagina produse</t>
  </si>
  <si>
    <t>Chekout your information</t>
  </si>
  <si>
    <t>20 - Completare cu date corecte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</si>
  <si>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Completare camp "ZIP/Postal code" 077030
13. Click buton "Continue"
14. Accesare pagina "Checkout overview"
15. Click buton "Finish</t>
  </si>
  <si>
    <t>1. Sonia
2. Zaharia
3. 077030</t>
  </si>
  <si>
    <t>Redirectionare catre pagina de finalizare si afisare mesaj "Thank you for your order!"</t>
  </si>
  <si>
    <t>21 - Camp necompletat pentru "First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</si>
  <si>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Completare camp "Last name" Zaharia
12. Completare camp "ZIP/Postal code" 077030
13. Click buton "Continue"</t>
  </si>
  <si>
    <t>1. 
2. Zaharia
3. 077030</t>
  </si>
  <si>
    <t>Afisare mesaj eroare "Error: First name is required"</t>
  </si>
  <si>
    <t>22 - Camp necompletat pentru "Last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</si>
  <si>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Camp necompletat "Last name"
12. Completare camp "ZIP/Postal code" 077030
13. Click buton "Continue"</t>
  </si>
  <si>
    <t>1. Sonia
2. 
3. 077030</t>
  </si>
  <si>
    <t>Afisare mesaj eroare "Error: Last name is required"</t>
  </si>
  <si>
    <t>23 - Camp necompletat pentru "ZIP/Postal code"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</si>
  <si>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Camp necompletat "ZIP/Postal code" 
13. Click buton "Continue"</t>
  </si>
  <si>
    <t xml:space="preserve">1. Sonia
2. Zaharia
3. </t>
  </si>
  <si>
    <t>Afisare mesaj eroare "Error: ZIP/Postal code is required"</t>
  </si>
  <si>
    <t>24 - Campurile "First Name", "Last name", "ZIP/Postal code" necompletate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</si>
  <si>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Camp necompletat "Last name" 
12. Camp necompletat "ZIP/Postal code" 
13. Click buton "Continue"</t>
  </si>
  <si>
    <t>1.
2.
3.</t>
  </si>
  <si>
    <t>Afisare mesaj eroare "Error: First name, Last name, ZIP/Postal code is required"</t>
  </si>
  <si>
    <t>Fail</t>
  </si>
  <si>
    <t>25 - Intoarcere la cosul de cumparaturi dupa apasarea butonului "Cancel"</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</si>
  <si>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Click buton "Cancel</t>
  </si>
  <si>
    <t>1. "Cancel"</t>
  </si>
  <si>
    <t>Redirectionare catre cosul de cumparaturi</t>
  </si>
  <si>
    <t>Buton meniu</t>
  </si>
  <si>
    <t>26 - Click buton "All items" -&gt; accesare pagina de produse</t>
  </si>
  <si>
    <t>1. accesare site
2. introducere in campul username username valid
3. introducere in campul password parola valida
4. Apasare buton Login
5. Accesare pagina produse
6. Click buton "All Items" din meniu</t>
  </si>
  <si>
    <t>1. "All Items"</t>
  </si>
  <si>
    <t>Redirectionare pagina de produse</t>
  </si>
  <si>
    <t>27 - Click buton "About" -&gt; accesare pagina "about"</t>
  </si>
  <si>
    <t>P4</t>
  </si>
  <si>
    <t>1. accesare site
2. introducere in campul username username valid
3. introducere in campul password parola valida
4. Apasare buton Login
5. Accesare pagina produse
6. Click buton "About" din meniu</t>
  </si>
  <si>
    <t>1. "About"</t>
  </si>
  <si>
    <t>Redirectionare catre pagina "About"</t>
  </si>
  <si>
    <t>28 - Click buton "LogOut" -&gt; redirectionare catre interfata de login</t>
  </si>
  <si>
    <t>1. accesare site
2. introducere in campul username username valid
3. introducere in campul password parola valida
4. Apasare buton Login
5. Accesare pagina produse
6. Click buton "LogOut" din meniu</t>
  </si>
  <si>
    <t>1. "LogOut"</t>
  </si>
  <si>
    <t>Redirectionare catre pagina de LogIn</t>
  </si>
  <si>
    <t>29 - Refresh pagina prin click buton "Reset app state"</t>
  </si>
  <si>
    <t>1. accesare site
2. introducere in campul username username valid
3. introducere in campul password parola valida
4. Apasare buton Login
5. Accesare pagina produse
6. Click buton "Reset app state" din meniu</t>
  </si>
  <si>
    <t>1. "Reset app state"</t>
  </si>
  <si>
    <t>Refresh pagina, redirectionare catre pagina principala</t>
  </si>
  <si>
    <t>Buton nefunctional</t>
  </si>
  <si>
    <t>Securitate</t>
  </si>
  <si>
    <t>30 - Accesare pagini protejate dupa delogare</t>
  </si>
  <si>
    <t>Redirectionare catre pagina de LogIn si imposibilitatea de a mai accesa alte functii ale site-ului</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</si>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</sst>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numFmts count="9">
    <numFmt numFmtId="5" formatCode="#,##0\ &quot;lei&quot;;\-#,##0\ &quot;lei&quot;"/>
    <numFmt numFmtId="6" formatCode="#,##0\ &quot;lei&quot;;[Red]\-#,##0\ &quot;lei&quot;"/>
    <numFmt numFmtId="7" formatCode="#,##0.00\ &quot;lei&quot;;\-#,##0.00\ &quot;lei&quot;"/>
    <numFmt numFmtId="8" formatCode="#,##0.00\ &quot;lei&quot;;[Red]\-#,##0.00\ &quot;lei&quot;"/>
    <numFmt numFmtId="42" formatCode="_-* #,##0\ &quot;lei&quot;_-;\-* #,##0\ &quot;lei&quot;_-;_-* &quot;-&quot;\ &quot;lei&quot;_-;_-@_-"/>
    <numFmt numFmtId="41" formatCode="_-* #,##0\ _l_e_i_-;\-* #,##0\ _l_e_i_-;_-* &quot;-&quot;\ _l_e_i_-;_-@_-"/>
    <numFmt numFmtId="44" formatCode="_-* #,##0.00\ &quot;lei&quot;_-;\-* #,##0.00\ &quot;lei&quot;_-;_-* &quot;-&quot;??\ &quot;lei&quot;_-;_-@_-"/>
    <numFmt numFmtId="43" formatCode="_-* #,##0.00\ _l_e_i_-;\-* #,##0.00\ _l_e_i_-;_-* &quot;-&quot;??\ _l_e_i_-;_-@_-"/>
    <numFmt numFmtId="2" formatCode="0.00"/>
  </numFmts>
  <fonts count="7">
    <font>
      <name val="Arial"/>
      <family val="2"/>
      <color rgb="FF000000"/>
      <sz val="10"/>
      <extLst>
        <ext uri="smNativeData">
          <pm:charSpec xmlns:pm="smNativeData" id="1769513811" ulstyle="none" kern="1">
            <pm:latin face="Arial" sz="200" lang="default"/>
            <pm:cs face="Times New Roman" sz="200" lang="default"/>
            <pm:ea face="SimSun" sz="200" lang="default"/>
          </pm:charSpec>
        </ext>
      </extLst>
    </font>
    <font>
      <name val="Verdana"/>
      <family val="2"/>
      <b/>
      <color rgb="FF000000"/>
      <sz val="10"/>
      <extLst>
        <ext uri="smNativeData">
          <pm:charSpec xmlns:pm="smNativeData" id="1769513811" ulstyle="none" kern="1">
            <pm:latin face="Verdana" sz="200" lang="default" weight="bold"/>
            <pm:cs face="Times New Roman" sz="200" lang="default" weight="bold"/>
            <pm:ea face="SimSun" sz="200" lang="default" weight="bold"/>
          </pm:charSpec>
        </ext>
      </extLst>
    </font>
    <font>
      <name val="Verdana"/>
      <family val="2"/>
      <color rgb="FF000000"/>
      <sz val="10"/>
      <extLst>
        <ext uri="smNativeData">
          <pm:charSpec xmlns:pm="smNativeData" id="1769513811" ulstyle="none" kern="1">
            <pm:latin face="Verdana" sz="200" lang="default"/>
            <pm:cs face="Times New Roman" sz="200" lang="default"/>
            <pm:ea face="SimSun" sz="200" lang="default"/>
          </pm:charSpec>
        </ext>
      </extLst>
    </font>
    <font>
      <name val="Arial"/>
      <family val="2"/>
      <color rgb="FF000000"/>
      <sz val="14"/>
      <extLst>
        <ext uri="smNativeData">
          <pm:charSpec xmlns:pm="smNativeData" id="1769513811" ulstyle="none" kern="1">
            <pm:latin face="Arial" sz="280" lang="default"/>
            <pm:cs face="Times New Roman" sz="280" lang="default"/>
            <pm:ea face="SimSun" sz="280" lang="default"/>
          </pm:charSpec>
        </ext>
      </extLst>
    </font>
    <font>
      <name val="Arial"/>
      <family val="2"/>
      <b/>
      <color rgb="FF000000"/>
      <sz val="14"/>
      <extLst>
        <ext uri="smNativeData">
          <pm:charSpec xmlns:pm="smNativeData" id="1769513811" ulstyle="none" kern="1">
            <pm:latin face="Arial" sz="280" lang="default" weight="bold"/>
            <pm:cs face="Times New Roman" sz="280" lang="default" weight="bold"/>
            <pm:ea face="SimSun" sz="280" lang="default" weight="bold"/>
          </pm:charSpec>
        </ext>
      </extLst>
    </font>
    <font>
      <name val="Inconsolata"/>
      <b/>
      <color rgb="FF1155CC"/>
      <sz val="14"/>
      <extLst>
        <ext uri="smNativeData">
          <pm:charSpec xmlns:pm="smNativeData" id="1769513811" fgClr="1155CC" ulstyle="none" kern="1">
            <pm:latin face="Inconsolata" sz="280" lang="default" weight="bold"/>
            <pm:cs face="Times New Roman" sz="280" lang="default" weight="bold"/>
            <pm:ea face="SimSun" sz="280" lang="default" weight="bold"/>
          </pm:charSpec>
        </ext>
      </extLst>
    </font>
    <font>
      <name val="Verdana"/>
      <family val="2"/>
      <color rgb="FF000000"/>
      <sz val="10"/>
      <extLst>
        <ext uri="smNativeData">
          <pm:charSpec xmlns:pm="smNativeData" id="1769513811" ulstyle="none" kern="1">
            <pm:latin face="Verdana" sz="200" lang="default"/>
            <pm:cs face="Times New Roman" sz="280" lang="default"/>
            <pm:ea face="SimSun" sz="280" lang="default"/>
          </pm:charSpec>
        </ext>
      </extLst>
    </font>
  </fonts>
  <fills count="13">
    <fill>
      <patternFill patternType="none"/>
    </fill>
    <fill>
      <patternFill patternType="gray125"/>
    </fill>
    <fill>
      <patternFill patternType="solid">
        <fgColor rgb="FFB7E1CD"/>
        <bgColor rgb="FFFFFFFF"/>
        <extLst>
          <ext uri="smNativeData">
            <pm:shade xmlns:pm="smNativeData" id="1769513811" type="1" fgLvl="100" fgClr="00B7E1CD" bgLvl="0" bgClr="00B7E1CD"/>
          </ext>
        </extLst>
      </patternFill>
    </fill>
    <fill>
      <patternFill patternType="none"/>
    </fill>
    <fill>
      <patternFill patternType="solid">
        <fgColor rgb="FFFFFFFF"/>
        <bgColor rgb="FFFFFFFF"/>
        <extLst>
          <ext uri="smNativeData">
            <pm:shade xmlns:pm="smNativeData" id="1769513811" type="1" fgLvl="100" fgClr="00FFFFFF" bgLvl="0" bgClr="00FFFFFF"/>
          </ext>
        </extLst>
      </patternFill>
    </fill>
    <fill>
      <patternFill patternType="solid">
        <fgColor rgb="FFD9EAD3"/>
        <bgColor rgb="FFFFFFFF"/>
        <extLst>
          <ext uri="smNativeData">
            <pm:shade xmlns:pm="smNativeData" id="1769513811" type="1" fgLvl="100" fgClr="00D9EAD3" bgLvl="0" bgClr="00D9EAD3"/>
          </ext>
        </extLst>
      </patternFill>
    </fill>
    <fill>
      <patternFill patternType="solid">
        <fgColor rgb="FFD9EAD3"/>
        <bgColor rgb="FFFFFFFF"/>
        <extLst>
          <ext uri="smNativeData">
            <pm:shade xmlns:pm="smNativeData" id="1769513811" type="1" fgLvl="100" fgClr="00D9EAD3" bgLvl="0" bgClr="00D9EAD3"/>
          </ext>
        </extLst>
      </patternFill>
    </fill>
    <fill>
      <patternFill patternType="none"/>
    </fill>
    <fill>
      <patternFill patternType="none"/>
    </fill>
    <fill>
      <patternFill patternType="none"/>
    </fill>
    <fill>
      <patternFill patternType="solid">
        <fgColor rgb="FFFFFFFF"/>
        <bgColor rgb="FFFFFFFF"/>
        <extLst>
          <ext uri="smNativeData">
            <pm:shade xmlns:pm="smNativeData" id="1769513811" type="1" fgLvl="100" fgClr="00FFFFFF" bgLvl="100" bgClr="00000000"/>
          </ext>
        </extLst>
      </patternFill>
    </fill>
    <fill>
      <patternFill patternType="solid">
        <fgColor rgb="FF38761D"/>
        <bgColor rgb="FFFFFFFF"/>
        <extLst>
          <ext uri="smNativeData">
            <pm:shade xmlns:pm="smNativeData" id="1769513811" type="1" fgLvl="100" fgClr="0038761D" bgLvl="0" bgClr="0038761D"/>
          </ext>
        </extLst>
      </patternFill>
    </fill>
    <fill>
      <patternFill patternType="solid">
        <fgColor rgb="FFEA9999"/>
        <bgColor rgb="FFFFFFFF"/>
        <extLst>
          <ext uri="smNativeData">
            <pm:shade xmlns:pm="smNativeData" id="1769513811" type="1" fgLvl="100" fgClr="00EA9999" bgLvl="0" bgClr="00EA9999"/>
          </ext>
        </extLst>
      </patternFill>
    </fill>
  </fills>
  <borders count="12">
    <border>
      <left style="none">
        <color rgb="FF000000"/>
      </left>
      <right style="none">
        <color rgb="FF000000"/>
      </right>
      <top style="none">
        <color rgb="FF000000"/>
      </top>
      <bottom style="none">
        <color rgb="FF000000"/>
      </bottom>
      <extLst>
        <ext uri="smNativeData">
          <pm:border xmlns:pm="smNativeData" id="1769513811"/>
        </ext>
      </extLst>
    </border>
    <border>
      <left style="thin">
        <color rgb="FF000000"/>
      </left>
      <right style="thin">
        <color rgb="FF000000"/>
      </right>
      <top style="thin">
        <color rgb="FF000000"/>
      </top>
      <bottom style="thin">
        <color rgb="FF000000"/>
      </bottom>
      <extLst>
        <ext uri="smNativeData">
          <pm:border xmlns:pm="smNativeData" id="176951381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1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1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1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3811"/>
        </ext>
      </extLst>
    </border>
    <border>
      <left style="thin">
        <color rgb="FF000000"/>
      </left>
      <right style="thin">
        <color rgb="FF000000"/>
      </right>
      <top style="thin">
        <color rgb="FF000000"/>
      </top>
      <bottom style="none">
        <color rgb="FF000000"/>
      </bottom>
      <extLst>
        <ext uri="smNativeData">
          <pm:border xmlns:pm="smNativeData" id="1769513811">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69513811">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69513811">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3811"/>
        </ext>
      </extLst>
    </border>
    <border>
      <left style="none">
        <color rgb="FF000000"/>
      </left>
      <right style="none">
        <color rgb="FF000000"/>
      </right>
      <top style="none">
        <color rgb="FF000000"/>
      </top>
      <bottom style="none">
        <color rgb="FF000000"/>
      </bottom>
      <extLst>
        <ext uri="smNativeData">
          <pm:border xmlns:pm="smNativeData" id="1769513811"/>
        </ext>
      </extLst>
    </border>
    <border>
      <left style="none">
        <color rgb="FF000000"/>
      </left>
      <right style="none">
        <color rgb="FF000000"/>
      </right>
      <top style="none">
        <color rgb="FF000000"/>
      </top>
      <bottom style="none">
        <color rgb="FF000000"/>
      </bottom>
      <extLst>
        <ext uri="smNativeData">
          <pm:border xmlns:pm="smNativeData" id="1769513811"/>
        </ext>
      </extLst>
    </border>
  </borders>
  <cellStyleXfs count="1">
    <xf numFmtId="0" fontId="0" fillId="0" borderId="0" applyNumberFormat="1" applyFont="1" applyFill="1" applyBorder="1" applyAlignment="1" applyProtection="1"/>
  </cellStyleXfs>
  <cellXfs count="14">
    <xf numFmtId="0" fontId="0" fillId="0" borderId="0" xfId="0"/>
    <xf numFmtId="0" fontId="3" fillId="2" borderId="1" xfId="0" applyFont="1" applyFill="1" applyBorder="1" applyAlignment="1">
      <alignment horizontal="center"/>
    </xf>
    <xf numFmtId="0" fontId="4" fillId="0" borderId="2" xfId="0" applyFont="1" applyBorder="1" applyAlignment="1">
      <alignment horizontal="center"/>
    </xf>
    <xf numFmtId="2" fontId="5" fillId="4" borderId="3" xfId="0" applyNumberFormat="1" applyFont="1" applyFill="1" applyBorder="1" applyAlignment="1">
      <alignment horizontal="center"/>
    </xf>
    <xf numFmtId="2" fontId="4" fillId="0" borderId="2" xfId="0" applyNumberFormat="1" applyFont="1" applyBorder="1" applyAlignment="1">
      <alignment horizontal="center"/>
    </xf>
    <xf numFmtId="0" fontId="2" fillId="0" borderId="2" xfId="0" applyFont="1" applyBorder="1" applyAlignment="1">
      <alignment vertical="center" wrapText="1"/>
    </xf>
    <xf numFmtId="0" fontId="2" fillId="0" borderId="0" xfId="0" applyFont="1" applyAlignment="1">
      <alignment vertical="center" wrapText="1"/>
    </xf>
    <xf numFmtId="0" fontId="1" fillId="5" borderId="4" xfId="0" applyFont="1" applyFill="1" applyBorder="1" applyAlignment="1">
      <alignment vertical="center" wrapText="1"/>
    </xf>
    <xf numFmtId="0" fontId="1" fillId="6" borderId="5" xfId="0" applyFont="1" applyFill="1" applyAlignment="1">
      <alignment vertical="center" wrapText="1"/>
    </xf>
    <xf numFmtId="0" fontId="2" fillId="0" borderId="6" xfId="0" applyFont="1" applyBorder="1" applyAlignment="1">
      <alignment vertical="center" wrapText="1"/>
    </xf>
    <xf numFmtId="0" fontId="6" fillId="0" borderId="2"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xf>
  </cellXfs>
  <cellStyles count="1">
    <cellStyle name="Normal" xfId="0" builtinId="0" customBuiltin="1"/>
  </cellStyles>
  <dxfs count="49">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38761D"/>
          <extLst>
            <ext uri="smNativeData">
              <pm:shade xmlns:pm="smNativeData" id="1769513811" type="1" fgLvl="100" fgClr="0038761D" bgLvl="0" bgClr="0038761D"/>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CC0000"/>
          <extLst>
            <ext uri="smNativeData">
              <pm:shade xmlns:pm="smNativeData" id="1769513811" type="1" fgLvl="100" fgClr="00CC0000" bgLvl="0" bgClr="00CC0000"/>
            </ext>
          </extLst>
        </patternFill>
      </fill>
    </dxf>
    <dxf>
      <fill>
        <patternFill patternType="solid">
          <bgColor rgb="FFEA9999"/>
          <extLst>
            <ext uri="smNativeData">
              <pm:shade xmlns:pm="smNativeData" id="1769513811" type="1" fgLvl="100" fgClr="00EA9999" bgLvl="0" bgClr="00EA9999"/>
            </ext>
          </extLst>
        </patternFill>
      </fill>
    </dxf>
    <dxf>
      <fill>
        <patternFill patternType="solid">
          <bgColor rgb="FFF1C232"/>
          <extLst>
            <ext uri="smNativeData">
              <pm:shade xmlns:pm="smNativeData" id="1769513811" type="1" fgLvl="100" fgClr="00F1C232" bgLvl="0" bgClr="00F1C232"/>
            </ext>
          </extLst>
        </patternFill>
      </fill>
    </dxf>
    <dxf>
      <fill>
        <patternFill patternType="solid">
          <bgColor rgb="FF38761D"/>
          <extLst>
            <ext uri="smNativeData">
              <pm:shade xmlns:pm="smNativeData" id="1769513811" type="1" fgLvl="100" fgClr="0038761D" bgLvl="0" bgClr="0038761D"/>
            </ext>
          </extLst>
        </patternFill>
      </fill>
    </dxf>
  </dxfs>
  <tableStyles count="0"/>
  <extLst>
    <ext uri="smNativeData">
      <pm:charStyles xmlns:pm="smNativeData" id="1769513811" count="1">
        <pm:charStyle name="Normal" fontId="0" Id="1"/>
      </pm:charStyles>
      <pm:colors xmlns:pm="smNativeData" id="1769513811" count="7">
        <pm:color name="Culoare 24" rgb="1155CC"/>
        <pm:color name="Culoare 25" rgb="D9EAD3"/>
        <pm:color name="Culoare 26" rgb="B7E1CD"/>
        <pm:color name="Culoare 27" rgb="38761D"/>
        <pm:color name="Culoare 28" rgb="F1C232"/>
        <pm:color name="Culoare 29" rgb="EA9999"/>
        <pm:color name="Culoare 30" rgb="CC0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J1002"/>
  <sheetViews>
    <sheetView tabSelected="1" view="normal" topLeftCell="A30" zoomScale="65" workbookViewId="0">
      <selection activeCell="M33" sqref="M33"/>
    </sheetView>
  </sheetViews>
  <sheetFormatPr baseColWidth="11" defaultColWidth="12.666667" defaultRowHeight="15" customHeight="1"/>
  <cols>
    <col min="1" max="1" width="17.666667" customWidth="1" style="6"/>
    <col min="2" max="2" width="31.333333" customWidth="1" style="6"/>
    <col min="3" max="4" width="11.882883" customWidth="1" style="6"/>
    <col min="5" max="5" width="47.774775" customWidth="1" style="6"/>
    <col min="6" max="6" width="20.774775" customWidth="1" style="6"/>
    <col min="7" max="7" width="23.036036" customWidth="1" style="6"/>
    <col min="8" max="8" width="14.189189" customWidth="1" style="6"/>
    <col min="9" max="9" width="27.000000" customWidth="1" style="6"/>
    <col min="10" max="10" width="21.666667" customWidth="1" style="6"/>
    <col min="11" max="16384" width="12.666667" style="6"/>
  </cols>
  <sheetData>
    <row r="1" spans="1:10" ht="69.75" customHeight="1">
      <c r="A1" s="7" t="s">
        <v>0</v>
      </c>
      <c r="B1" s="7" t="s">
        <v>1</v>
      </c>
      <c r="C1" s="8" t="s">
        <v>2</v>
      </c>
      <c r="D1" s="8" t="s">
        <v>3</v>
      </c>
      <c r="E1" s="7" t="s">
        <v>4</v>
      </c>
      <c r="F1" s="7" t="s">
        <v>5</v>
      </c>
      <c r="G1" s="7" t="s">
        <v>6</v>
      </c>
      <c r="H1" s="7" t="s">
        <v>7</v>
      </c>
      <c r="I1" s="7" t="s">
        <v>8</v>
      </c>
      <c r="J1" s="7" t="s">
        <v>9</v>
      </c>
    </row>
    <row r="2" spans="1:10" ht="75" customHeight="1">
      <c r="A2" s="9" t="s">
        <v>10</v>
      </c>
      <c r="B2" s="5" t="s">
        <v>11</v>
      </c>
      <c r="C2" s="10" t="s">
        <v>12</v>
      </c>
      <c r="D2" s="10"/>
      <c r="E2" s="5" t="s">
        <v>13</v>
      </c>
      <c r="F2" s="5" t="s">
        <v>14</v>
      </c>
      <c r="G2" s="5" t="s">
        <v>15</v>
      </c>
      <c r="H2" s="5" t="s">
        <v>15</v>
      </c>
      <c r="I2" s="10" t="s">
        <v>16</v>
      </c>
      <c r="J2" s="10"/>
    </row>
    <row r="3" spans="1:10" ht="81" customHeight="1">
      <c r="A3" s="11"/>
      <c r="B3" s="5" t="s">
        <v>17</v>
      </c>
      <c r="C3" s="10" t="s">
        <v>12</v>
      </c>
      <c r="D3" s="10"/>
      <c r="E3" s="5" t="s">
        <v>18</v>
      </c>
      <c r="F3" s="5" t="s">
        <v>19</v>
      </c>
      <c r="G3" s="5" t="s">
        <v>20</v>
      </c>
      <c r="H3" s="5" t="s">
        <v>20</v>
      </c>
      <c r="I3" s="10" t="s">
        <v>16</v>
      </c>
      <c r="J3" s="10"/>
    </row>
    <row r="4" spans="1:10" ht="81" customHeight="1">
      <c r="A4" s="11"/>
      <c r="B4" s="5" t="s">
        <v>21</v>
      </c>
      <c r="C4" s="10" t="s">
        <v>12</v>
      </c>
      <c r="D4" s="10"/>
      <c r="E4" s="5" t="s">
        <v>22</v>
      </c>
      <c r="F4" s="5" t="s">
        <v>23</v>
      </c>
      <c r="G4" s="5" t="s">
        <v>20</v>
      </c>
      <c r="H4" s="5" t="s">
        <v>20</v>
      </c>
      <c r="I4" s="10" t="s">
        <v>16</v>
      </c>
      <c r="J4" s="10"/>
    </row>
    <row r="5" spans="1:10" ht="81" customHeight="1">
      <c r="A5" s="11"/>
      <c r="B5" s="5" t="s">
        <v>24</v>
      </c>
      <c r="C5" s="10" t="s">
        <v>12</v>
      </c>
      <c r="D5" s="10"/>
      <c r="E5" s="5" t="s">
        <v>25</v>
      </c>
      <c r="F5" s="5" t="s">
        <v>26</v>
      </c>
      <c r="G5" s="5" t="s">
        <v>20</v>
      </c>
      <c r="H5" s="5" t="s">
        <v>20</v>
      </c>
      <c r="I5" s="10" t="s">
        <v>16</v>
      </c>
      <c r="J5" s="10"/>
    </row>
    <row r="6" spans="1:10" ht="81" customHeight="1">
      <c r="A6" s="11"/>
      <c r="B6" s="5" t="s">
        <v>27</v>
      </c>
      <c r="C6" s="10" t="s">
        <v>12</v>
      </c>
      <c r="D6" s="10"/>
      <c r="E6" s="5" t="s">
        <v>28</v>
      </c>
      <c r="F6" s="5" t="s">
        <v>29</v>
      </c>
      <c r="G6" s="5" t="s">
        <v>30</v>
      </c>
      <c r="H6" s="5" t="s">
        <v>30</v>
      </c>
      <c r="I6" s="10" t="s">
        <v>16</v>
      </c>
      <c r="J6" s="10"/>
    </row>
    <row r="7" spans="1:10" ht="96.75" customHeight="1">
      <c r="A7" s="12"/>
      <c r="B7" s="5" t="s">
        <v>31</v>
      </c>
      <c r="C7" s="10" t="s">
        <v>12</v>
      </c>
      <c r="D7" s="10"/>
      <c r="E7" s="5" t="s">
        <v>32</v>
      </c>
      <c r="F7" s="5" t="s">
        <v>19</v>
      </c>
      <c r="G7" s="5" t="s">
        <v>33</v>
      </c>
      <c r="H7" s="5" t="s">
        <v>33</v>
      </c>
      <c r="I7" s="10" t="s">
        <v>16</v>
      </c>
      <c r="J7" s="10"/>
    </row>
    <row r="8" spans="1:10" ht="14.15">
      <c r="A8" s="6" t="s">
        <v>34</v>
      </c>
      <c r="B8" s="5" t="s">
        <v>35</v>
      </c>
      <c r="C8" s="10" t="s">
        <v>36</v>
      </c>
      <c r="D8" s="10"/>
      <c r="E8" s="5" t="s">
        <v>37</v>
      </c>
      <c r="F8" s="5" t="s">
        <v>38</v>
      </c>
      <c r="G8" s="5" t="s">
        <v>39</v>
      </c>
      <c r="H8" s="5" t="s">
        <v>39</v>
      </c>
      <c r="I8" s="10" t="s">
        <v>16</v>
      </c>
      <c r="J8" s="10"/>
    </row>
    <row r="9" spans="2:10" ht="14.15">
      <c r="B9" s="5" t="s">
        <v>40</v>
      </c>
      <c r="C9" s="10" t="s">
        <v>36</v>
      </c>
      <c r="D9" s="10"/>
      <c r="E9" s="5" t="s">
        <v>41</v>
      </c>
      <c r="F9" s="5" t="s">
        <v>42</v>
      </c>
      <c r="G9" s="5" t="s">
        <v>43</v>
      </c>
      <c r="H9" s="5" t="s">
        <v>43</v>
      </c>
      <c r="I9" s="10" t="s">
        <v>16</v>
      </c>
      <c r="J9" s="10"/>
    </row>
    <row r="10" spans="2:10" ht="14.15">
      <c r="B10" s="5" t="s">
        <v>44</v>
      </c>
      <c r="C10" s="10" t="s">
        <v>36</v>
      </c>
      <c r="D10" s="10"/>
      <c r="E10" s="5" t="s">
        <v>45</v>
      </c>
      <c r="F10" s="5" t="s">
        <v>46</v>
      </c>
      <c r="G10" s="5" t="s">
        <v>47</v>
      </c>
      <c r="H10" s="5" t="s">
        <v>47</v>
      </c>
      <c r="I10" s="10" t="s">
        <v>16</v>
      </c>
      <c r="J10" s="10"/>
    </row>
    <row r="11" spans="1:10" ht="14.15">
      <c r="A11" s="12"/>
      <c r="B11" s="5" t="s">
        <v>48</v>
      </c>
      <c r="C11" s="5" t="s">
        <v>36</v>
      </c>
      <c r="D11" s="5"/>
      <c r="E11" s="5" t="s">
        <v>49</v>
      </c>
      <c r="F11" s="5" t="s">
        <v>50</v>
      </c>
      <c r="G11" s="5" t="s">
        <v>51</v>
      </c>
      <c r="H11" s="5" t="s">
        <v>51</v>
      </c>
      <c r="I11" s="10" t="s">
        <v>16</v>
      </c>
      <c r="J11" s="5"/>
    </row>
    <row r="12" spans="1:10" ht="14.15">
      <c r="A12" s="5"/>
      <c r="B12" s="5" t="s">
        <v>52</v>
      </c>
      <c r="C12" s="5" t="s">
        <v>12</v>
      </c>
      <c r="D12" s="5"/>
      <c r="E12" s="5" t="s">
        <v>53</v>
      </c>
      <c r="F12" s="5" t="s">
        <v>54</v>
      </c>
      <c r="G12" s="5" t="s">
        <v>55</v>
      </c>
      <c r="H12" s="5" t="s">
        <v>55</v>
      </c>
      <c r="I12" s="10" t="s">
        <v>16</v>
      </c>
      <c r="J12" s="5"/>
    </row>
    <row r="13" spans="1:10" ht="14.15">
      <c r="A13" s="5"/>
      <c r="B13" s="5" t="s">
        <v>56</v>
      </c>
      <c r="C13" s="5" t="s">
        <v>12</v>
      </c>
      <c r="D13" s="5"/>
      <c r="E13" s="5" t="s">
        <v>57</v>
      </c>
      <c r="F13" s="5" t="s">
        <v>58</v>
      </c>
      <c r="G13" s="5" t="s">
        <v>59</v>
      </c>
      <c r="H13" s="5" t="s">
        <v>59</v>
      </c>
      <c r="I13" s="10" t="s">
        <v>16</v>
      </c>
      <c r="J13" s="5"/>
    </row>
    <row r="14" spans="1:10" ht="14.15">
      <c r="A14" s="5"/>
      <c r="B14" s="5" t="s">
        <v>60</v>
      </c>
      <c r="C14" s="5" t="s">
        <v>12</v>
      </c>
      <c r="D14" s="5"/>
      <c r="E14" s="5" t="s">
        <v>61</v>
      </c>
      <c r="F14" s="5" t="s">
        <v>62</v>
      </c>
      <c r="G14" s="5" t="s">
        <v>63</v>
      </c>
      <c r="H14" s="5" t="s">
        <v>63</v>
      </c>
      <c r="I14" s="10" t="s">
        <v>16</v>
      </c>
      <c r="J14" s="5"/>
    </row>
    <row r="15" spans="1:10" ht="14.15">
      <c r="A15" s="5" t="s">
        <v>64</v>
      </c>
      <c r="B15" s="5" t="s">
        <v>65</v>
      </c>
      <c r="C15" s="5" t="s">
        <v>12</v>
      </c>
      <c r="D15" s="5"/>
      <c r="E15" s="5" t="s">
        <v>66</v>
      </c>
      <c r="F15" s="5" t="s">
        <v>67</v>
      </c>
      <c r="G15" s="5" t="s">
        <v>68</v>
      </c>
      <c r="H15" s="5" t="s">
        <v>68</v>
      </c>
      <c r="I15" s="10" t="s">
        <v>16</v>
      </c>
      <c r="J15" s="5"/>
    </row>
    <row r="16" spans="1:10" ht="14.15">
      <c r="A16" s="5"/>
      <c r="B16" s="5" t="s">
        <v>69</v>
      </c>
      <c r="C16" s="5" t="s">
        <v>12</v>
      </c>
      <c r="D16" s="5"/>
      <c r="E16" s="5" t="s">
        <v>70</v>
      </c>
      <c r="F16" s="5" t="s">
        <v>71</v>
      </c>
      <c r="G16" s="5" t="s">
        <v>72</v>
      </c>
      <c r="H16" s="5" t="s">
        <v>72</v>
      </c>
      <c r="I16" s="10" t="s">
        <v>16</v>
      </c>
      <c r="J16" s="5"/>
    </row>
    <row r="17" spans="1:10" ht="14.15">
      <c r="A17" s="5"/>
      <c r="B17" s="5" t="s">
        <v>73</v>
      </c>
      <c r="C17" s="5" t="s">
        <v>12</v>
      </c>
      <c r="D17" s="5"/>
      <c r="E17" s="5" t="s">
        <v>74</v>
      </c>
      <c r="F17" s="5" t="s">
        <v>75</v>
      </c>
      <c r="G17" s="5" t="s">
        <v>76</v>
      </c>
      <c r="H17" s="5" t="s">
        <v>76</v>
      </c>
      <c r="I17" s="10" t="s">
        <v>16</v>
      </c>
      <c r="J17" s="5"/>
    </row>
    <row r="18" spans="1:10" ht="14.15">
      <c r="A18" s="5" t="s">
        <v>77</v>
      </c>
      <c r="B18" s="5" t="s">
        <v>78</v>
      </c>
      <c r="C18" s="5" t="s">
        <v>12</v>
      </c>
      <c r="D18" s="5"/>
      <c r="E18" s="5" t="s">
        <v>79</v>
      </c>
      <c r="F18" s="5" t="s">
        <v>80</v>
      </c>
      <c r="G18" s="5" t="s">
        <v>55</v>
      </c>
      <c r="H18" s="5" t="s">
        <v>55</v>
      </c>
      <c r="I18" s="10" t="s">
        <v>16</v>
      </c>
      <c r="J18" s="5"/>
    </row>
    <row r="19" spans="1:10" ht="14.15">
      <c r="A19" s="5"/>
      <c r="B19" s="5" t="s">
        <v>81</v>
      </c>
      <c r="C19" s="5" t="s">
        <v>82</v>
      </c>
      <c r="D19" s="5"/>
      <c r="E19" s="5" t="s">
        <v>83</v>
      </c>
      <c r="F19" s="5" t="s">
        <v>84</v>
      </c>
      <c r="G19" s="5" t="s">
        <v>68</v>
      </c>
      <c r="H19" s="5" t="s">
        <v>68</v>
      </c>
      <c r="I19" s="10" t="s">
        <v>16</v>
      </c>
      <c r="J19" s="5"/>
    </row>
    <row r="20" spans="1:10" ht="14.15">
      <c r="A20" s="5"/>
      <c r="B20" s="5" t="s">
        <v>85</v>
      </c>
      <c r="C20" s="5" t="s">
        <v>36</v>
      </c>
      <c r="D20" s="5"/>
      <c r="E20" s="5" t="s">
        <v>86</v>
      </c>
      <c r="F20" s="5" t="s">
        <v>87</v>
      </c>
      <c r="G20" s="5" t="s">
        <v>88</v>
      </c>
      <c r="H20" s="5" t="s">
        <v>88</v>
      </c>
      <c r="I20" s="10" t="s">
        <v>16</v>
      </c>
      <c r="J20" s="5"/>
    </row>
    <row r="21" spans="1:10" ht="14.15">
      <c r="A21" s="5" t="s">
        <v>89</v>
      </c>
      <c r="B21" s="5" t="s">
        <v>90</v>
      </c>
      <c r="C21" s="5" t="s">
        <v>12</v>
      </c>
      <c r="D21" s="5"/>
      <c r="E21" s="5" t="s">
        <v>91</v>
      </c>
      <c r="F21" s="5" t="s">
        <v>92</v>
      </c>
      <c r="G21" s="5" t="s">
        <v>93</v>
      </c>
      <c r="H21" s="5" t="s">
        <v>93</v>
      </c>
      <c r="I21" s="10" t="s">
        <v>16</v>
      </c>
      <c r="J21" s="5"/>
    </row>
    <row r="22" spans="1:10" ht="14.15">
      <c r="A22" s="5"/>
      <c r="B22" s="5" t="s">
        <v>94</v>
      </c>
      <c r="C22" s="5" t="s">
        <v>12</v>
      </c>
      <c r="D22" s="5"/>
      <c r="E22" s="5" t="s">
        <v>95</v>
      </c>
      <c r="F22" s="5" t="s">
        <v>96</v>
      </c>
      <c r="G22" s="5" t="s">
        <v>97</v>
      </c>
      <c r="H22" s="5" t="s">
        <v>97</v>
      </c>
      <c r="I22" s="10" t="s">
        <v>16</v>
      </c>
      <c r="J22" s="5"/>
    </row>
    <row r="23" spans="1:10" ht="14.15">
      <c r="A23" s="5"/>
      <c r="B23" s="5" t="s">
        <v>98</v>
      </c>
      <c r="C23" s="5" t="s">
        <v>12</v>
      </c>
      <c r="D23" s="5"/>
      <c r="E23" s="5" t="s">
        <v>99</v>
      </c>
      <c r="F23" s="5" t="s">
        <v>100</v>
      </c>
      <c r="G23" s="5" t="s">
        <v>101</v>
      </c>
      <c r="H23" s="5" t="s">
        <v>101</v>
      </c>
      <c r="I23" s="10" t="s">
        <v>16</v>
      </c>
      <c r="J23" s="5"/>
    </row>
    <row r="24" spans="1:10" ht="14.15">
      <c r="A24" s="5"/>
      <c r="B24" s="5" t="s">
        <v>102</v>
      </c>
      <c r="C24" s="5" t="s">
        <v>12</v>
      </c>
      <c r="D24" s="5"/>
      <c r="E24" s="5" t="s">
        <v>103</v>
      </c>
      <c r="F24" s="5" t="s">
        <v>104</v>
      </c>
      <c r="G24" s="5" t="s">
        <v>105</v>
      </c>
      <c r="H24" s="5" t="s">
        <v>105</v>
      </c>
      <c r="I24" s="10" t="s">
        <v>16</v>
      </c>
      <c r="J24" s="5"/>
    </row>
    <row r="25" spans="1:10" ht="14.15">
      <c r="A25" s="5"/>
      <c r="B25" s="5" t="s">
        <v>106</v>
      </c>
      <c r="C25" s="5" t="s">
        <v>12</v>
      </c>
      <c r="D25" s="5"/>
      <c r="E25" s="5" t="s">
        <v>107</v>
      </c>
      <c r="F25" s="5" t="s">
        <v>108</v>
      </c>
      <c r="G25" s="5" t="s">
        <v>109</v>
      </c>
      <c r="H25" s="5" t="s">
        <v>97</v>
      </c>
      <c r="I25" s="5" t="s">
        <v>110</v>
      </c>
      <c r="J25" s="5" t="n">
        <v>1</v>
      </c>
    </row>
    <row r="26" spans="1:10" ht="14.15">
      <c r="A26" s="5"/>
      <c r="B26" s="5" t="s">
        <v>111</v>
      </c>
      <c r="C26" s="5" t="s">
        <v>82</v>
      </c>
      <c r="D26" s="5"/>
      <c r="E26" s="5" t="s">
        <v>112</v>
      </c>
      <c r="F26" s="5" t="s">
        <v>113</v>
      </c>
      <c r="G26" s="5" t="s">
        <v>114</v>
      </c>
      <c r="H26" s="5" t="s">
        <v>114</v>
      </c>
      <c r="I26" s="5" t="s">
        <v>16</v>
      </c>
      <c r="J26" s="5"/>
    </row>
    <row r="27" spans="1:10" ht="14.15">
      <c r="A27" s="5" t="s">
        <v>115</v>
      </c>
      <c r="B27" s="5" t="s">
        <v>116</v>
      </c>
      <c r="C27" s="5" t="s">
        <v>82</v>
      </c>
      <c r="D27" s="5"/>
      <c r="E27" s="5" t="s">
        <v>117</v>
      </c>
      <c r="F27" s="5" t="s">
        <v>118</v>
      </c>
      <c r="G27" s="5" t="s">
        <v>119</v>
      </c>
      <c r="H27" s="5" t="s">
        <v>119</v>
      </c>
      <c r="I27" s="5" t="s">
        <v>16</v>
      </c>
      <c r="J27" s="5"/>
    </row>
    <row r="28" spans="1:10" ht="14.15">
      <c r="A28" s="5"/>
      <c r="B28" s="5" t="s">
        <v>120</v>
      </c>
      <c r="C28" s="5" t="s">
        <v>121</v>
      </c>
      <c r="D28" s="5"/>
      <c r="E28" s="5" t="s">
        <v>122</v>
      </c>
      <c r="F28" s="6" t="s">
        <v>123</v>
      </c>
      <c r="G28" s="5" t="s">
        <v>124</v>
      </c>
      <c r="H28" s="5" t="s">
        <v>124</v>
      </c>
      <c r="I28" s="5" t="s">
        <v>16</v>
      </c>
      <c r="J28" s="5"/>
    </row>
    <row r="29" spans="1:10" ht="14.15">
      <c r="A29" s="5"/>
      <c r="B29" s="5" t="s">
        <v>125</v>
      </c>
      <c r="C29" s="5" t="s">
        <v>12</v>
      </c>
      <c r="D29" s="5"/>
      <c r="E29" s="5" t="s">
        <v>126</v>
      </c>
      <c r="F29" s="5" t="s">
        <v>127</v>
      </c>
      <c r="G29" s="5" t="s">
        <v>128</v>
      </c>
      <c r="H29" s="5" t="s">
        <v>128</v>
      </c>
      <c r="I29" s="5" t="s">
        <v>16</v>
      </c>
      <c r="J29" s="5"/>
    </row>
    <row r="30" spans="1:10" ht="14.15">
      <c r="A30" s="5"/>
      <c r="B30" s="5" t="s">
        <v>129</v>
      </c>
      <c r="C30" s="5" t="s">
        <v>82</v>
      </c>
      <c r="D30" s="5"/>
      <c r="E30" s="5" t="s">
        <v>130</v>
      </c>
      <c r="F30" s="5" t="s">
        <v>131</v>
      </c>
      <c r="G30" s="5" t="s">
        <v>132</v>
      </c>
      <c r="H30" s="5" t="s">
        <v>133</v>
      </c>
      <c r="I30" s="5" t="s">
        <v>110</v>
      </c>
      <c r="J30" s="13" t="n">
        <v>2</v>
      </c>
    </row>
    <row r="31" spans="1:10" ht="14.15">
      <c r="A31" s="5" t="s">
        <v>134</v>
      </c>
      <c r="B31" s="5" t="s">
        <v>135</v>
      </c>
      <c r="C31" s="5" t="s">
        <v>12</v>
      </c>
      <c r="D31" s="5"/>
      <c r="E31" s="5" t="s">
        <v>126</v>
      </c>
      <c r="F31" s="5" t="s">
        <v>127</v>
      </c>
      <c r="G31" s="5" t="s">
        <v>136</v>
      </c>
      <c r="H31" s="5" t="s">
        <v>136</v>
      </c>
      <c r="I31" s="5" t="s">
        <v>16</v>
      </c>
      <c r="J31" s="5"/>
    </row>
    <row r="32" spans="1:10" ht="57.75" customHeight="1">
      <c r="A32" s="5"/>
      <c r="B32" s="5"/>
      <c r="C32" s="5"/>
      <c r="D32" s="5"/>
      <c r="E32" s="5"/>
      <c r="F32" s="5"/>
      <c r="G32" s="5"/>
      <c r="H32" s="5"/>
      <c r="I32" s="5"/>
      <c r="J32" s="5"/>
    </row>
    <row r="33" spans="1:10" ht="73.50" customHeight="1">
      <c r="A33" s="5"/>
      <c r="B33" s="5"/>
      <c r="C33" s="5"/>
      <c r="D33" s="5"/>
      <c r="E33" s="5"/>
      <c r="F33" s="5"/>
      <c r="G33" s="5"/>
      <c r="H33" s="5"/>
      <c r="I33" s="5"/>
      <c r="J33" s="5"/>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row r="1001" spans="1:1" ht="15.75" customHeight="1"/>
    <row r="1002" spans="1:1" ht="15.75" customHeight="1"/>
  </sheetData>
  <mergeCells count="6">
    <mergeCell ref="A2:A7"/>
    <mergeCell ref="A8:A14"/>
    <mergeCell ref="A15:A17"/>
    <mergeCell ref="A18:A20"/>
    <mergeCell ref="A21:A26"/>
    <mergeCell ref="A27:A30"/>
  </mergeCells>
  <conditionalFormatting sqref="I24">
    <cfRule type="cellIs" dxfId="0" priority="1" operator="equal">
      <formula>"Fail"</formula>
    </cfRule>
  </conditionalFormatting>
  <conditionalFormatting sqref="I24">
    <cfRule type="cellIs" dxfId="1" priority="2" operator="equal">
      <formula>"Pass"</formula>
    </cfRule>
  </conditionalFormatting>
  <conditionalFormatting sqref="I24">
    <cfRule type="containsText" dxfId="2" priority="3" operator="containsText" text="Blocked">
      <formula>NOT(ISERROR(SEARCH("Blocked", I15)))</formula>
    </cfRule>
  </conditionalFormatting>
  <conditionalFormatting sqref="I23">
    <cfRule type="cellIs" dxfId="3" priority="4" operator="equal">
      <formula>"Fail"</formula>
    </cfRule>
  </conditionalFormatting>
  <conditionalFormatting sqref="I23">
    <cfRule type="cellIs" dxfId="4" priority="5" operator="equal">
      <formula>"Pass"</formula>
    </cfRule>
  </conditionalFormatting>
  <conditionalFormatting sqref="I23">
    <cfRule type="containsText" dxfId="5" priority="6" operator="containsText" text="Blocked">
      <formula>NOT(ISERROR(SEARCH("Blocked", I14)))</formula>
    </cfRule>
  </conditionalFormatting>
  <conditionalFormatting sqref="I22">
    <cfRule type="cellIs" dxfId="6" priority="7" operator="equal">
      <formula>"Fail"</formula>
    </cfRule>
  </conditionalFormatting>
  <conditionalFormatting sqref="I22">
    <cfRule type="cellIs" dxfId="7" priority="8" operator="equal">
      <formula>"Pass"</formula>
    </cfRule>
  </conditionalFormatting>
  <conditionalFormatting sqref="I22">
    <cfRule type="containsText" dxfId="8" priority="9" operator="containsText" text="Blocked">
      <formula>NOT(ISERROR(SEARCH("Blocked", I13)))</formula>
    </cfRule>
  </conditionalFormatting>
  <conditionalFormatting sqref="I21">
    <cfRule type="cellIs" dxfId="9" priority="10" operator="equal">
      <formula>"Pass"</formula>
    </cfRule>
  </conditionalFormatting>
  <conditionalFormatting sqref="I21">
    <cfRule type="cellIs" dxfId="10" priority="11" operator="equal">
      <formula>"Fail"</formula>
    </cfRule>
  </conditionalFormatting>
  <conditionalFormatting sqref="I21">
    <cfRule type="containsText" dxfId="11" priority="12" operator="containsText" text="Blocked">
      <formula>NOT(ISERROR(SEARCH("Blocked", I12)))</formula>
    </cfRule>
  </conditionalFormatting>
  <conditionalFormatting sqref="I20">
    <cfRule type="cellIs" dxfId="12" priority="13" operator="equal">
      <formula>"Fail"</formula>
    </cfRule>
  </conditionalFormatting>
  <conditionalFormatting sqref="I20">
    <cfRule type="cellIs" dxfId="13" priority="14" operator="equal">
      <formula>"Pass"</formula>
    </cfRule>
  </conditionalFormatting>
  <conditionalFormatting sqref="I20">
    <cfRule type="containsText" dxfId="14" priority="15" operator="containsText" text="Blocked">
      <formula>NOT(ISERROR(SEARCH("Blocked", I11)))</formula>
    </cfRule>
  </conditionalFormatting>
  <conditionalFormatting sqref="I19">
    <cfRule type="cellIs" dxfId="15" priority="16" operator="equal">
      <formula>"Fail"</formula>
    </cfRule>
  </conditionalFormatting>
  <conditionalFormatting sqref="I19">
    <cfRule type="cellIs" dxfId="16" priority="17" operator="equal">
      <formula>"Pass"</formula>
    </cfRule>
  </conditionalFormatting>
  <conditionalFormatting sqref="I19">
    <cfRule type="containsText" dxfId="17" priority="18" operator="containsText" text="Blocked">
      <formula>NOT(ISERROR(SEARCH("Blocked", I10)))</formula>
    </cfRule>
  </conditionalFormatting>
  <conditionalFormatting sqref="I18">
    <cfRule type="cellIs" dxfId="18" priority="19" operator="equal">
      <formula>"Fail"</formula>
    </cfRule>
  </conditionalFormatting>
  <conditionalFormatting sqref="I18">
    <cfRule type="cellIs" dxfId="19" priority="20" operator="equal">
      <formula>"Pass"</formula>
    </cfRule>
  </conditionalFormatting>
  <conditionalFormatting sqref="I18">
    <cfRule type="containsText" dxfId="20" priority="21" operator="containsText" text="Blocked">
      <formula>NOT(ISERROR(SEARCH("Blocked", I9)))</formula>
    </cfRule>
  </conditionalFormatting>
  <conditionalFormatting sqref="I17">
    <cfRule type="cellIs" dxfId="21" priority="22" operator="equal">
      <formula>"Pass"</formula>
    </cfRule>
  </conditionalFormatting>
  <conditionalFormatting sqref="I17">
    <cfRule type="cellIs" dxfId="22" priority="23" operator="equal">
      <formula>"Fail"</formula>
    </cfRule>
  </conditionalFormatting>
  <conditionalFormatting sqref="I17">
    <cfRule type="containsText" dxfId="23" priority="24" operator="containsText" text="Blocked">
      <formula>NOT(ISERROR(SEARCH("Blocked", I8)))</formula>
    </cfRule>
  </conditionalFormatting>
  <conditionalFormatting sqref="I16">
    <cfRule type="cellIs" dxfId="24" priority="25" operator="equal">
      <formula>"Fail"</formula>
    </cfRule>
  </conditionalFormatting>
  <conditionalFormatting sqref="I16">
    <cfRule type="cellIs" dxfId="25" priority="26" operator="equal">
      <formula>"Pass"</formula>
    </cfRule>
  </conditionalFormatting>
  <conditionalFormatting sqref="I16">
    <cfRule type="containsText" dxfId="26" priority="27" operator="containsText" text="Blocked">
      <formula>NOT(ISERROR(SEARCH("Blocked", I7)))</formula>
    </cfRule>
  </conditionalFormatting>
  <conditionalFormatting sqref="I15">
    <cfRule type="cellIs" dxfId="27" priority="28" operator="equal">
      <formula>"Pass"</formula>
    </cfRule>
  </conditionalFormatting>
  <conditionalFormatting sqref="I15">
    <cfRule type="cellIs" dxfId="28" priority="29" operator="equal">
      <formula>"Fail"</formula>
    </cfRule>
  </conditionalFormatting>
  <conditionalFormatting sqref="I15">
    <cfRule type="containsText" dxfId="29" priority="30" operator="containsText" text="Blocked">
      <formula>NOT(ISERROR(SEARCH("Blocked", I6)))</formula>
    </cfRule>
  </conditionalFormatting>
  <conditionalFormatting sqref="I14">
    <cfRule type="cellIs" dxfId="30" priority="31" operator="equal">
      <formula>"Fail"</formula>
    </cfRule>
  </conditionalFormatting>
  <conditionalFormatting sqref="I14">
    <cfRule type="cellIs" dxfId="31" priority="32" operator="equal">
      <formula>"Pass"</formula>
    </cfRule>
  </conditionalFormatting>
  <conditionalFormatting sqref="I14">
    <cfRule type="containsText" dxfId="32" priority="33" operator="containsText" text="Blocked">
      <formula>NOT(ISERROR(SEARCH("Blocked", I5)))</formula>
    </cfRule>
  </conditionalFormatting>
  <conditionalFormatting sqref="I13">
    <cfRule type="cellIs" dxfId="33" priority="34" operator="equal">
      <formula>"Pass"</formula>
    </cfRule>
  </conditionalFormatting>
  <conditionalFormatting sqref="I13">
    <cfRule type="cellIs" dxfId="34" priority="35" operator="equal">
      <formula>"Fail"</formula>
    </cfRule>
  </conditionalFormatting>
  <conditionalFormatting sqref="I13">
    <cfRule type="containsText" dxfId="35" priority="36" operator="containsText" text="Blocked">
      <formula>NOT(ISERROR(SEARCH("Blocked", I4)))</formula>
    </cfRule>
  </conditionalFormatting>
  <conditionalFormatting sqref="I12">
    <cfRule type="cellIs" dxfId="36" priority="37" operator="equal">
      <formula>"Fail"</formula>
    </cfRule>
  </conditionalFormatting>
  <conditionalFormatting sqref="I12">
    <cfRule type="cellIs" dxfId="37" priority="38" operator="equal">
      <formula>"Pass"</formula>
    </cfRule>
  </conditionalFormatting>
  <conditionalFormatting sqref="I12">
    <cfRule type="containsText" dxfId="38" priority="39" operator="containsText" text="Blocked">
      <formula>NOT(ISERROR(SEARCH("Blocked", I3)))</formula>
    </cfRule>
  </conditionalFormatting>
  <conditionalFormatting sqref="I6">
    <cfRule type="cellIs" dxfId="39" priority="40" operator="equal">
      <formula>"Fail"</formula>
    </cfRule>
  </conditionalFormatting>
  <conditionalFormatting sqref="I6">
    <cfRule type="containsText" dxfId="40" priority="41" operator="containsText" text="Blocked">
      <formula>NOT(ISERROR(SEARCH("Blocked", I3)))</formula>
    </cfRule>
  </conditionalFormatting>
  <conditionalFormatting sqref="I6">
    <cfRule type="cellIs" dxfId="41" priority="42" operator="equal">
      <formula>"Pass"</formula>
    </cfRule>
  </conditionalFormatting>
  <conditionalFormatting sqref="I2:I5 I7:I11 I25:I33">
    <cfRule type="cellIs" dxfId="42" priority="43" operator="equal">
      <formula>"Pass"</formula>
    </cfRule>
  </conditionalFormatting>
  <conditionalFormatting sqref="I2:I5 I7:I11 I25:I33">
    <cfRule type="cellIs" dxfId="43" priority="44" operator="equal">
      <formula>"Fail"</formula>
    </cfRule>
  </conditionalFormatting>
  <conditionalFormatting sqref="I2:I5 I7:I11 I25:I33">
    <cfRule type="containsText" dxfId="44" priority="45" operator="containsText" text="Blocked">
      <formula>NOT(ISERROR(SEARCH("Blocked", I2)))</formula>
    </cfRule>
  </conditionalFormatting>
  <printOptions>
    <extLst>
      <ext uri="smNativeData">
        <pm:pageFlags xmlns:pm="smNativeData" id="1769513811"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3811" l="56" r="56" t="56" b="56" borderId="0" fillId="0" vertical="0"/>
        <pm:footer xmlns:pm="smNativeData" id="1769513811" l="56" r="56" t="56" b="56" borderId="0" fillId="0" vertical="2"/>
        <pm:paperBin xmlns:pm="smNativeData" id="1769513811" Id="0" type="0" value="0"/>
        <pm:paperBin xmlns:pm="smNativeData" id="1769513811" Id="1" type="0" value="0"/>
      </ext>
    </extLst>
  </headerFooter>
  <extLst>
    <ext uri="smNativeData">
      <pm:sheetPrefs xmlns:pm="smNativeData" day="1769513811"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I1000"/>
  <sheetViews>
    <sheetView view="normal" workbookViewId="0">
      <selection activeCell="B15" sqref="B15"/>
    </sheetView>
  </sheetViews>
  <sheetFormatPr baseColWidth="11" defaultColWidth="12.666667" defaultRowHeight="15" customHeight="1"/>
  <cols>
    <col min="1" max="1" width="20.441441" customWidth="1"/>
    <col min="2" max="2" width="20.882883" customWidth="1"/>
    <col min="3" max="3" width="19.666667" customWidth="1"/>
    <col min="4" max="4" width="22.774775" customWidth="1"/>
    <col min="5" max="5" width="23.882883" customWidth="1"/>
    <col min="6" max="6" width="20.333333" customWidth="1"/>
    <col min="7" max="7" width="23.774775" customWidth="1"/>
    <col min="8" max="8" width="20.333333" customWidth="1"/>
    <col min="9" max="9" width="22.108108" customWidth="1"/>
  </cols>
  <sheetData>
    <row r="1" spans="1:9" ht="67.50" customHeight="1">
      <c r="A1" s="1" t="s">
        <v>137</v>
      </c>
      <c r="B1" s="1" t="s">
        <v>138</v>
      </c>
      <c r="C1" s="1" t="s">
        <v>139</v>
      </c>
      <c r="D1" s="1" t="s">
        <v>140</v>
      </c>
      <c r="E1" s="1" t="s">
        <v>141</v>
      </c>
      <c r="F1" s="1" t="s">
        <v>142</v>
      </c>
      <c r="G1" s="1" t="s">
        <v>143</v>
      </c>
      <c r="H1" s="1" t="s">
        <v>144</v>
      </c>
      <c r="I1" s="1" t="s">
        <v>141</v>
      </c>
    </row>
    <row r="2" spans="1:9" ht="75.75" customHeight="1">
      <c r="A2" s="2">
        <f>COUNTIF(TestCases!B2:B62,"*")</f>
        <v>30</v>
      </c>
      <c r="B2" s="2">
        <f>COUNTIF(TestCases!I2:O62,"Pass")</f>
        <v>28</v>
      </c>
      <c r="C2" s="2">
        <f>COUNTIF(TestCases!I2:I62,"Fail")</f>
        <v>2</v>
      </c>
      <c r="D2" s="2">
        <f>COUNTIF(TestCases!I2:I62,"Blocked")</f>
        <v>0</v>
      </c>
      <c r="E2" s="2">
        <f>B2+C2</f>
        <v>30</v>
      </c>
      <c r="F2" s="3">
        <f>(D2/A2)*100</f>
        <v>0</v>
      </c>
      <c r="G2" s="4">
        <f>(C2/A2)*100</f>
        <v>6.66666666666669983</v>
      </c>
      <c r="H2" s="3">
        <f>(B2/A2)*100</f>
        <v>93.3333333333333002</v>
      </c>
      <c r="I2" s="4">
        <f>((B2+C2)/A2)*100</f>
        <v>100</v>
      </c>
    </row>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sheetData>
  <conditionalFormatting sqref="I2">
    <cfRule type="cellIs" dxfId="45" priority="1" operator="between">
      <formula>0</formula>
      <formula>25</formula>
    </cfRule>
  </conditionalFormatting>
  <conditionalFormatting sqref="I2">
    <cfRule type="cellIs" dxfId="46" priority="2" operator="between">
      <formula>26</formula>
      <formula>50</formula>
    </cfRule>
  </conditionalFormatting>
  <conditionalFormatting sqref="I2">
    <cfRule type="cellIs" dxfId="47" priority="3" operator="between">
      <formula>51</formula>
      <formula>75</formula>
    </cfRule>
  </conditionalFormatting>
  <conditionalFormatting sqref="I2">
    <cfRule type="cellIs" dxfId="48" priority="4" operator="between">
      <formula>76</formula>
      <formula>100</formula>
    </cfRule>
  </conditionalFormatting>
  <printOptions>
    <extLst>
      <ext uri="smNativeData">
        <pm:pageFlags xmlns:pm="smNativeData" id="1769513811"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3811" l="56" r="56" t="56" b="56" borderId="0" fillId="0" vertical="0"/>
        <pm:footer xmlns:pm="smNativeData" id="1769513811" l="56" r="56" t="56" b="56" borderId="0" fillId="0" vertical="2"/>
        <pm:paperBin xmlns:pm="smNativeData" id="1769513811" Id="0" type="0" value="0"/>
        <pm:paperBin xmlns:pm="smNativeData" id="1769513811" Id="1" type="0" value="0"/>
      </ext>
    </extLst>
  </headerFooter>
  <extLst>
    <ext uri="smNativeData">
      <pm:sheetPrefs xmlns:pm="smNativeData" day="1769513811"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alexz</cp:lastModifiedBy>
  <cp:revision>0</cp:revision>
  <dcterms:created xsi:type="dcterms:W3CDTF">2025-12-19T11:28:15Z</dcterms:created>
  <dcterms:modified xsi:type="dcterms:W3CDTF">2026-01-27T11:36:51Z</dcterms:modified>
</cp:coreProperties>
</file>